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e535206a087be44/Desktop/data445/A4/"/>
    </mc:Choice>
  </mc:AlternateContent>
  <xr:revisionPtr revIDLastSave="0" documentId="8_{685D5244-378A-4747-95FA-A633F76C92F8}" xr6:coauthVersionLast="47" xr6:coauthVersionMax="47" xr10:uidLastSave="{00000000-0000-0000-0000-000000000000}"/>
  <bookViews>
    <workbookView xWindow="-120" yWindow="-120" windowWidth="29040" windowHeight="15840" activeTab="1" xr2:uid="{19ABBF83-FC6E-4240-93AD-5B52BCE59153}"/>
  </bookViews>
  <sheets>
    <sheet name="Sheet1" sheetId="2" r:id="rId1"/>
    <sheet name="Sheet2" sheetId="3" r:id="rId2"/>
    <sheet name="Water_Annual_River_Withdrawals_" sheetId="1" r:id="rId3"/>
  </sheets>
  <calcPr calcId="0"/>
</workbook>
</file>

<file path=xl/calcChain.xml><?xml version="1.0" encoding="utf-8"?>
<calcChain xmlns="http://schemas.openxmlformats.org/spreadsheetml/2006/main">
  <c r="C21" i="3" l="1"/>
  <c r="C22" i="3"/>
  <c r="C23" i="3"/>
  <c r="C24" i="3"/>
  <c r="C25" i="3"/>
  <c r="C26" i="3"/>
  <c r="C27" i="3"/>
  <c r="C29" i="2"/>
  <c r="C30" i="2"/>
  <c r="C31" i="2"/>
  <c r="C32" i="2"/>
  <c r="C33" i="2"/>
  <c r="C34" i="2"/>
  <c r="C35" i="2"/>
  <c r="D26" i="3" l="1"/>
  <c r="E24" i="3"/>
  <c r="E27" i="3"/>
  <c r="E26" i="3"/>
  <c r="D22" i="3"/>
  <c r="D21" i="3"/>
  <c r="E25" i="3"/>
  <c r="E22" i="3"/>
  <c r="D25" i="3"/>
  <c r="D24" i="3"/>
  <c r="E21" i="3"/>
  <c r="E23" i="3"/>
  <c r="D23" i="3"/>
  <c r="D27" i="3"/>
  <c r="D35" i="2"/>
  <c r="E29" i="2"/>
  <c r="E35" i="2"/>
  <c r="D29" i="2"/>
  <c r="E34" i="2"/>
  <c r="D34" i="2"/>
  <c r="E33" i="2"/>
  <c r="D33" i="2"/>
  <c r="E32" i="2"/>
  <c r="D32" i="2"/>
  <c r="E31" i="2"/>
  <c r="D31" i="2"/>
  <c r="E30" i="2"/>
  <c r="D30" i="2"/>
</calcChain>
</file>

<file path=xl/sharedStrings.xml><?xml version="1.0" encoding="utf-8"?>
<sst xmlns="http://schemas.openxmlformats.org/spreadsheetml/2006/main" count="15" uniqueCount="11">
  <si>
    <t>Date</t>
  </si>
  <si>
    <t>Year</t>
  </si>
  <si>
    <t>Total ML/yr</t>
  </si>
  <si>
    <t>Annual Return Flow Volume (ML)</t>
  </si>
  <si>
    <t>Percent Returned to River</t>
  </si>
  <si>
    <t>Forecast(Total ML/yr)</t>
  </si>
  <si>
    <t>Lower Confidence Bound(Total ML/yr)</t>
  </si>
  <si>
    <t>Upper Confidence Bound(Total ML/yr)</t>
  </si>
  <si>
    <t>Forecast(Annual Return Flow Volume (ML))</t>
  </si>
  <si>
    <t>Lower Confidence Bound(Annual Return Flow Volume (ML))</t>
  </si>
  <si>
    <t>Upper Confidence Bound(Annual Return Flow Volume (ML))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</si>
</sst>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2" formatCode="0.00"/>
    </dxf>
    <dxf>
      <numFmt numFmtId="2" formatCode="0.0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Annual</a:t>
            </a:r>
            <a:r>
              <a:rPr lang="en-CA" baseline="0"/>
              <a:t> river withdraw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 ML/yr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Sheet1!$B$2:$B$35</c:f>
              <c:numCache>
                <c:formatCode>#,##0</c:formatCode>
                <c:ptCount val="34"/>
                <c:pt idx="0">
                  <c:v>177655</c:v>
                </c:pt>
                <c:pt idx="1">
                  <c:v>191021</c:v>
                </c:pt>
                <c:pt idx="2">
                  <c:v>191166</c:v>
                </c:pt>
                <c:pt idx="3">
                  <c:v>201859</c:v>
                </c:pt>
                <c:pt idx="4">
                  <c:v>211996</c:v>
                </c:pt>
                <c:pt idx="5">
                  <c:v>209721</c:v>
                </c:pt>
                <c:pt idx="6">
                  <c:v>212471</c:v>
                </c:pt>
                <c:pt idx="7">
                  <c:v>199704</c:v>
                </c:pt>
                <c:pt idx="8">
                  <c:v>198594</c:v>
                </c:pt>
                <c:pt idx="9">
                  <c:v>197473</c:v>
                </c:pt>
                <c:pt idx="10">
                  <c:v>200300</c:v>
                </c:pt>
                <c:pt idx="11">
                  <c:v>185107</c:v>
                </c:pt>
                <c:pt idx="12">
                  <c:v>186149</c:v>
                </c:pt>
                <c:pt idx="13">
                  <c:v>177638</c:v>
                </c:pt>
                <c:pt idx="14">
                  <c:v>181318</c:v>
                </c:pt>
                <c:pt idx="15">
                  <c:v>178458</c:v>
                </c:pt>
                <c:pt idx="16">
                  <c:v>178530</c:v>
                </c:pt>
                <c:pt idx="17">
                  <c:v>176445</c:v>
                </c:pt>
                <c:pt idx="18">
                  <c:v>178114</c:v>
                </c:pt>
                <c:pt idx="19">
                  <c:v>174433</c:v>
                </c:pt>
                <c:pt idx="20">
                  <c:v>188507</c:v>
                </c:pt>
                <c:pt idx="21">
                  <c:v>187236</c:v>
                </c:pt>
                <c:pt idx="22">
                  <c:v>189433</c:v>
                </c:pt>
                <c:pt idx="23">
                  <c:v>187307</c:v>
                </c:pt>
                <c:pt idx="24">
                  <c:v>190378</c:v>
                </c:pt>
                <c:pt idx="25">
                  <c:v>191856</c:v>
                </c:pt>
                <c:pt idx="26">
                  <c:v>201904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67-465D-A78F-A7B5209F48D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Forecast(Total ML/yr)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6232536150372505E-4"/>
                  <c:y val="0.1121645021645021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Sheet1!$A$2:$A$35</c:f>
              <c:numCache>
                <c:formatCode>General</c:formatCode>
                <c:ptCount val="34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  <c:pt idx="23">
                  <c:v>2020</c:v>
                </c:pt>
                <c:pt idx="24">
                  <c:v>2021</c:v>
                </c:pt>
                <c:pt idx="25">
                  <c:v>2022</c:v>
                </c:pt>
                <c:pt idx="26">
                  <c:v>2023</c:v>
                </c:pt>
                <c:pt idx="27">
                  <c:v>2024</c:v>
                </c:pt>
                <c:pt idx="28">
                  <c:v>2025</c:v>
                </c:pt>
                <c:pt idx="29">
                  <c:v>2026</c:v>
                </c:pt>
                <c:pt idx="30">
                  <c:v>2027</c:v>
                </c:pt>
                <c:pt idx="31">
                  <c:v>2028</c:v>
                </c:pt>
                <c:pt idx="32">
                  <c:v>2029</c:v>
                </c:pt>
                <c:pt idx="33">
                  <c:v>2030</c:v>
                </c:pt>
              </c:numCache>
            </c:numRef>
          </c:cat>
          <c:val>
            <c:numRef>
              <c:f>Sheet1!$C$2:$C$35</c:f>
              <c:numCache>
                <c:formatCode>General</c:formatCode>
                <c:ptCount val="34"/>
                <c:pt idx="26" formatCode="#,##0">
                  <c:v>201904</c:v>
                </c:pt>
                <c:pt idx="27" formatCode="#,##0">
                  <c:v>201414.86507936509</c:v>
                </c:pt>
                <c:pt idx="28" formatCode="#,##0">
                  <c:v>200925.73015873015</c:v>
                </c:pt>
                <c:pt idx="29" formatCode="#,##0">
                  <c:v>200436.59523809524</c:v>
                </c:pt>
                <c:pt idx="30" formatCode="#,##0">
                  <c:v>199947.46031746033</c:v>
                </c:pt>
                <c:pt idx="31" formatCode="#,##0">
                  <c:v>199458.32539682538</c:v>
                </c:pt>
                <c:pt idx="32" formatCode="#,##0">
                  <c:v>198969.19047619047</c:v>
                </c:pt>
                <c:pt idx="33" formatCode="#,##0">
                  <c:v>198480.05555555556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67-465D-A78F-A7B5209F48D8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Lower Confidence Bound(Total ML/yr)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Sheet1!$A$2:$A$35</c:f>
              <c:numCache>
                <c:formatCode>General</c:formatCode>
                <c:ptCount val="34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  <c:pt idx="23">
                  <c:v>2020</c:v>
                </c:pt>
                <c:pt idx="24">
                  <c:v>2021</c:v>
                </c:pt>
                <c:pt idx="25">
                  <c:v>2022</c:v>
                </c:pt>
                <c:pt idx="26">
                  <c:v>2023</c:v>
                </c:pt>
                <c:pt idx="27">
                  <c:v>2024</c:v>
                </c:pt>
                <c:pt idx="28">
                  <c:v>2025</c:v>
                </c:pt>
                <c:pt idx="29">
                  <c:v>2026</c:v>
                </c:pt>
                <c:pt idx="30">
                  <c:v>2027</c:v>
                </c:pt>
                <c:pt idx="31">
                  <c:v>2028</c:v>
                </c:pt>
                <c:pt idx="32">
                  <c:v>2029</c:v>
                </c:pt>
                <c:pt idx="33">
                  <c:v>2030</c:v>
                </c:pt>
              </c:numCache>
            </c:numRef>
          </c:cat>
          <c:val>
            <c:numRef>
              <c:f>Sheet1!$D$2:$D$35</c:f>
              <c:numCache>
                <c:formatCode>General</c:formatCode>
                <c:ptCount val="34"/>
                <c:pt idx="26" formatCode="#,##0">
                  <c:v>201904</c:v>
                </c:pt>
                <c:pt idx="27" formatCode="#,##0">
                  <c:v>186904.40827207075</c:v>
                </c:pt>
                <c:pt idx="28" formatCode="#,##0">
                  <c:v>184696.05179298436</c:v>
                </c:pt>
                <c:pt idx="29" formatCode="#,##0">
                  <c:v>182647.19536143879</c:v>
                </c:pt>
                <c:pt idx="30" formatCode="#,##0">
                  <c:v>180718.97514022514</c:v>
                </c:pt>
                <c:pt idx="31" formatCode="#,##0">
                  <c:v>178886.0488168993</c:v>
                </c:pt>
                <c:pt idx="32" formatCode="#,##0">
                  <c:v>177130.80835919827</c:v>
                </c:pt>
                <c:pt idx="33" formatCode="#,##0">
                  <c:v>175440.43375444444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67-465D-A78F-A7B5209F48D8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Upper Confidence Bound(Total ML/yr)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Sheet1!$A$2:$A$35</c:f>
              <c:numCache>
                <c:formatCode>General</c:formatCode>
                <c:ptCount val="34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  <c:pt idx="23">
                  <c:v>2020</c:v>
                </c:pt>
                <c:pt idx="24">
                  <c:v>2021</c:v>
                </c:pt>
                <c:pt idx="25">
                  <c:v>2022</c:v>
                </c:pt>
                <c:pt idx="26">
                  <c:v>2023</c:v>
                </c:pt>
                <c:pt idx="27">
                  <c:v>2024</c:v>
                </c:pt>
                <c:pt idx="28">
                  <c:v>2025</c:v>
                </c:pt>
                <c:pt idx="29">
                  <c:v>2026</c:v>
                </c:pt>
                <c:pt idx="30">
                  <c:v>2027</c:v>
                </c:pt>
                <c:pt idx="31">
                  <c:v>2028</c:v>
                </c:pt>
                <c:pt idx="32">
                  <c:v>2029</c:v>
                </c:pt>
                <c:pt idx="33">
                  <c:v>2030</c:v>
                </c:pt>
              </c:numCache>
            </c:numRef>
          </c:cat>
          <c:val>
            <c:numRef>
              <c:f>Sheet1!$E$2:$E$35</c:f>
              <c:numCache>
                <c:formatCode>General</c:formatCode>
                <c:ptCount val="34"/>
                <c:pt idx="26" formatCode="#,##0">
                  <c:v>201904</c:v>
                </c:pt>
                <c:pt idx="27" formatCode="#,##0">
                  <c:v>215925.32188665943</c:v>
                </c:pt>
                <c:pt idx="28" formatCode="#,##0">
                  <c:v>217155.40852447593</c:v>
                </c:pt>
                <c:pt idx="29" formatCode="#,##0">
                  <c:v>218225.99511475168</c:v>
                </c:pt>
                <c:pt idx="30" formatCode="#,##0">
                  <c:v>219175.94549469551</c:v>
                </c:pt>
                <c:pt idx="31" formatCode="#,##0">
                  <c:v>220030.60197675147</c:v>
                </c:pt>
                <c:pt idx="32" formatCode="#,##0">
                  <c:v>220807.57259318267</c:v>
                </c:pt>
                <c:pt idx="33" formatCode="#,##0">
                  <c:v>221519.67735666668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367-465D-A78F-A7B5209F4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6962240"/>
        <c:axId val="1616967040"/>
      </c:lineChart>
      <c:catAx>
        <c:axId val="1616962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967040"/>
        <c:crosses val="autoZero"/>
        <c:auto val="1"/>
        <c:lblAlgn val="ctr"/>
        <c:lblOffset val="100"/>
        <c:noMultiLvlLbl val="0"/>
      </c:catAx>
      <c:valAx>
        <c:axId val="161696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VOlume</a:t>
                </a:r>
                <a:r>
                  <a:rPr lang="en-CA" baseline="0"/>
                  <a:t> Ml/Yr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96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Annual</a:t>
            </a:r>
            <a:r>
              <a:rPr lang="en-CA" baseline="0"/>
              <a:t> River Return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242438955588402E-2"/>
          <c:y val="4.7137074905088082E-2"/>
          <c:w val="0.88991897751911442"/>
          <c:h val="0.49870607083205509"/>
        </c:manualLayout>
      </c:layout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Annual Return Flow Volume (ML)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Sheet2!$B$2:$B$27</c:f>
              <c:numCache>
                <c:formatCode>General</c:formatCode>
                <c:ptCount val="26"/>
                <c:pt idx="0">
                  <c:v>201003</c:v>
                </c:pt>
                <c:pt idx="1">
                  <c:v>184540</c:v>
                </c:pt>
                <c:pt idx="2">
                  <c:v>197404</c:v>
                </c:pt>
                <c:pt idx="3">
                  <c:v>177048</c:v>
                </c:pt>
                <c:pt idx="4">
                  <c:v>169769</c:v>
                </c:pt>
                <c:pt idx="5">
                  <c:v>165579</c:v>
                </c:pt>
                <c:pt idx="6">
                  <c:v>171950</c:v>
                </c:pt>
                <c:pt idx="7">
                  <c:v>168323</c:v>
                </c:pt>
                <c:pt idx="8">
                  <c:v>171752</c:v>
                </c:pt>
                <c:pt idx="9">
                  <c:v>169068</c:v>
                </c:pt>
                <c:pt idx="10">
                  <c:v>165020</c:v>
                </c:pt>
                <c:pt idx="11">
                  <c:v>154979</c:v>
                </c:pt>
                <c:pt idx="12">
                  <c:v>150016</c:v>
                </c:pt>
                <c:pt idx="13">
                  <c:v>152051</c:v>
                </c:pt>
                <c:pt idx="14">
                  <c:v>161748</c:v>
                </c:pt>
                <c:pt idx="15">
                  <c:v>160968</c:v>
                </c:pt>
                <c:pt idx="16">
                  <c:v>150155</c:v>
                </c:pt>
                <c:pt idx="17">
                  <c:v>151953</c:v>
                </c:pt>
                <c:pt idx="18">
                  <c:v>154115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5D-4C35-8691-3CE7B82BF926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Forecast(Annual Return Flow Volume (ML))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6900275051267662E-3"/>
                  <c:y val="0.143653769861197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Sheet2!$A$2:$A$27</c:f>
              <c:numCache>
                <c:formatCode>General</c:formatCode>
                <c:ptCount val="26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  <c:pt idx="21">
                  <c:v>2026</c:v>
                </c:pt>
                <c:pt idx="22">
                  <c:v>2027</c:v>
                </c:pt>
                <c:pt idx="23">
                  <c:v>2028</c:v>
                </c:pt>
                <c:pt idx="24">
                  <c:v>2029</c:v>
                </c:pt>
                <c:pt idx="25">
                  <c:v>2030</c:v>
                </c:pt>
              </c:numCache>
            </c:numRef>
          </c:cat>
          <c:val>
            <c:numRef>
              <c:f>Sheet2!$C$2:$C$27</c:f>
              <c:numCache>
                <c:formatCode>General</c:formatCode>
                <c:ptCount val="26"/>
                <c:pt idx="18">
                  <c:v>154115</c:v>
                </c:pt>
                <c:pt idx="19">
                  <c:v>149126.02449249566</c:v>
                </c:pt>
                <c:pt idx="20">
                  <c:v>146823.53617935418</c:v>
                </c:pt>
                <c:pt idx="21">
                  <c:v>144521.0478662127</c:v>
                </c:pt>
                <c:pt idx="22">
                  <c:v>142218.55955307122</c:v>
                </c:pt>
                <c:pt idx="23">
                  <c:v>139916.07123992973</c:v>
                </c:pt>
                <c:pt idx="24">
                  <c:v>137613.58292678825</c:v>
                </c:pt>
                <c:pt idx="25">
                  <c:v>135311.09461364677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5D-4C35-8691-3CE7B82BF926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Lower Confidence Bound(Annual Return Flow Volume (ML))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Sheet2!$A$2:$A$27</c:f>
              <c:numCache>
                <c:formatCode>General</c:formatCode>
                <c:ptCount val="26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  <c:pt idx="21">
                  <c:v>2026</c:v>
                </c:pt>
                <c:pt idx="22">
                  <c:v>2027</c:v>
                </c:pt>
                <c:pt idx="23">
                  <c:v>2028</c:v>
                </c:pt>
                <c:pt idx="24">
                  <c:v>2029</c:v>
                </c:pt>
                <c:pt idx="25">
                  <c:v>2030</c:v>
                </c:pt>
              </c:numCache>
            </c:numRef>
          </c:cat>
          <c:val>
            <c:numRef>
              <c:f>Sheet2!$D$2:$D$27</c:f>
              <c:numCache>
                <c:formatCode>General</c:formatCode>
                <c:ptCount val="26"/>
                <c:pt idx="18" formatCode="0.00">
                  <c:v>154115</c:v>
                </c:pt>
                <c:pt idx="19" formatCode="0.00">
                  <c:v>134087.13235965511</c:v>
                </c:pt>
                <c:pt idx="20" formatCode="0.00">
                  <c:v>130002.81264634653</c:v>
                </c:pt>
                <c:pt idx="21" formatCode="0.00">
                  <c:v>126083.80158196641</c:v>
                </c:pt>
                <c:pt idx="22" formatCode="0.00">
                  <c:v>122289.82000346608</c:v>
                </c:pt>
                <c:pt idx="23" formatCode="0.00">
                  <c:v>118594.60269340232</c:v>
                </c:pt>
                <c:pt idx="24" formatCode="0.00">
                  <c:v>114979.90037806914</c:v>
                </c:pt>
                <c:pt idx="25" formatCode="0.00">
                  <c:v>111432.42617130159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5D-4C35-8691-3CE7B82BF926}"/>
            </c:ext>
          </c:extLst>
        </c:ser>
        <c:ser>
          <c:idx val="3"/>
          <c:order val="3"/>
          <c:tx>
            <c:strRef>
              <c:f>Sheet2!$E$1</c:f>
              <c:strCache>
                <c:ptCount val="1"/>
                <c:pt idx="0">
                  <c:v>Upper Confidence Bound(Annual Return Flow Volume (ML))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Sheet2!$A$2:$A$27</c:f>
              <c:numCache>
                <c:formatCode>General</c:formatCode>
                <c:ptCount val="26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  <c:pt idx="21">
                  <c:v>2026</c:v>
                </c:pt>
                <c:pt idx="22">
                  <c:v>2027</c:v>
                </c:pt>
                <c:pt idx="23">
                  <c:v>2028</c:v>
                </c:pt>
                <c:pt idx="24">
                  <c:v>2029</c:v>
                </c:pt>
                <c:pt idx="25">
                  <c:v>2030</c:v>
                </c:pt>
              </c:numCache>
            </c:numRef>
          </c:cat>
          <c:val>
            <c:numRef>
              <c:f>Sheet2!$E$2:$E$27</c:f>
              <c:numCache>
                <c:formatCode>General</c:formatCode>
                <c:ptCount val="26"/>
                <c:pt idx="18" formatCode="0.00">
                  <c:v>154115</c:v>
                </c:pt>
                <c:pt idx="19" formatCode="0.00">
                  <c:v>164164.91662533622</c:v>
                </c:pt>
                <c:pt idx="20" formatCode="0.00">
                  <c:v>163644.25971236182</c:v>
                </c:pt>
                <c:pt idx="21" formatCode="0.00">
                  <c:v>162958.294150459</c:v>
                </c:pt>
                <c:pt idx="22" formatCode="0.00">
                  <c:v>162147.29910267636</c:v>
                </c:pt>
                <c:pt idx="23" formatCode="0.00">
                  <c:v>161237.53978645714</c:v>
                </c:pt>
                <c:pt idx="24" formatCode="0.00">
                  <c:v>160247.26547550736</c:v>
                </c:pt>
                <c:pt idx="25" formatCode="0.00">
                  <c:v>159189.76305599196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E5D-4C35-8691-3CE7B82BF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2126576"/>
        <c:axId val="302127536"/>
      </c:lineChart>
      <c:catAx>
        <c:axId val="302126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127536"/>
        <c:crosses val="autoZero"/>
        <c:auto val="1"/>
        <c:lblAlgn val="ctr"/>
        <c:lblOffset val="100"/>
        <c:noMultiLvlLbl val="0"/>
      </c:catAx>
      <c:valAx>
        <c:axId val="30212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Volume</a:t>
                </a:r>
                <a:r>
                  <a:rPr lang="en-CA" baseline="0"/>
                  <a:t> ML/Yr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126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</xdr:colOff>
      <xdr:row>2</xdr:row>
      <xdr:rowOff>90487</xdr:rowOff>
    </xdr:from>
    <xdr:to>
      <xdr:col>4</xdr:col>
      <xdr:colOff>2276475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DA5FE8-CC1D-BEE7-71FC-AC95ECC9FA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1947862</xdr:colOff>
      <xdr:row>1</xdr:row>
      <xdr:rowOff>123825</xdr:rowOff>
    </xdr:from>
    <xdr:to>
      <xdr:col>4</xdr:col>
      <xdr:colOff>1733550</xdr:colOff>
      <xdr:row>18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A3EF1E-B8DE-FB3D-D95A-3F5F66E27E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7D70F1-B7C0-461D-A68B-17A1EBE6B753}" name="Table1" displayName="Table1" ref="A1:E35" totalsRowShown="0">
  <autoFilter ref="A1:E35" xr:uid="{D67D70F1-B7C0-461D-A68B-17A1EBE6B753}"/>
  <tableColumns count="5">
    <tableColumn id="1" xr3:uid="{B8C911F0-AEFE-428A-B2B0-27BF03356655}" name="Year"/>
    <tableColumn id="2" xr3:uid="{48513915-7BEA-4E59-ACD8-362414DD0FA7}" name="Total ML/yr"/>
    <tableColumn id="3" xr3:uid="{8A1F0254-EAD1-4C17-BB69-B76DC9ECC562}" name="Forecast(Total ML/yr)" dataDxfId="4">
      <calculatedColumnFormula>_xlfn.FORECAST.ETS(A2,$B$2:$B$28,$A$2:$A$28,1,1)</calculatedColumnFormula>
    </tableColumn>
    <tableColumn id="4" xr3:uid="{F6EC1C2B-FB71-4073-9802-9B1FE1C213CC}" name="Lower Confidence Bound(Total ML/yr)" dataDxfId="3">
      <calculatedColumnFormula>C2-_xlfn.FORECAST.ETS.CONFINT(A2,$B$2:$B$28,$A$2:$A$28,0.95,1,1)</calculatedColumnFormula>
    </tableColumn>
    <tableColumn id="5" xr3:uid="{5EEEEACD-4035-4A9C-AD7C-E0A1445C855D}" name="Upper Confidence Bound(Total ML/yr)" dataDxfId="2">
      <calculatedColumnFormula>C2+_xlfn.FORECAST.ETS.CONFINT(A2,$B$2:$B$28,$A$2:$A$28,0.95,1,1)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A0B474-7454-45A1-ABAD-51154955F9B6}" name="Table2" displayName="Table2" ref="A1:E27" totalsRowShown="0">
  <autoFilter ref="A1:E27" xr:uid="{12A0B474-7454-45A1-ABAD-51154955F9B6}"/>
  <tableColumns count="5">
    <tableColumn id="1" xr3:uid="{B69F8358-F4F6-49DE-9DAA-5334D44A615D}" name="Year"/>
    <tableColumn id="2" xr3:uid="{08855C31-3FAE-4A25-83ED-8672F4ADDB75}" name="Annual Return Flow Volume (ML)"/>
    <tableColumn id="3" xr3:uid="{15D051DF-5230-499F-9D6F-A05AF549328C}" name="Forecast(Annual Return Flow Volume (ML))">
      <calculatedColumnFormula>_xlfn.FORECAST.ETS(A2,$B$2:$B$20,$A$2:$A$20,1,1)</calculatedColumnFormula>
    </tableColumn>
    <tableColumn id="4" xr3:uid="{417F9BBE-CA6D-4E45-8210-5A866776F929}" name="Lower Confidence Bound(Annual Return Flow Volume (ML))" dataDxfId="1">
      <calculatedColumnFormula>C2-_xlfn.FORECAST.ETS.CONFINT(A2,$B$2:$B$20,$A$2:$A$20,0.95,1,1)</calculatedColumnFormula>
    </tableColumn>
    <tableColumn id="5" xr3:uid="{46A12DA7-7441-4C94-BC89-54451E848AEF}" name="Upper Confidence Bound(Annual Return Flow Volume (ML))" dataDxfId="0">
      <calculatedColumnFormula>C2+_xlfn.FORECAST.ETS.CONFINT(A2,$B$2:$B$20,$A$2:$A$20,0.95,1,1)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A8788-8D08-45EF-945B-E6F72365F118}">
  <dimension ref="A1:E35"/>
  <sheetViews>
    <sheetView workbookViewId="0">
      <selection activeCell="E7" sqref="E7"/>
    </sheetView>
  </sheetViews>
  <sheetFormatPr defaultRowHeight="15" x14ac:dyDescent="0.25"/>
  <cols>
    <col min="2" max="2" width="13" customWidth="1"/>
    <col min="3" max="3" width="22.140625" customWidth="1"/>
    <col min="4" max="5" width="37" customWidth="1"/>
  </cols>
  <sheetData>
    <row r="1" spans="1:5" x14ac:dyDescent="0.25">
      <c r="A1" t="s">
        <v>1</v>
      </c>
      <c r="B1" t="s">
        <v>2</v>
      </c>
      <c r="C1" t="s">
        <v>5</v>
      </c>
      <c r="D1" t="s">
        <v>6</v>
      </c>
      <c r="E1" t="s">
        <v>7</v>
      </c>
    </row>
    <row r="2" spans="1:5" x14ac:dyDescent="0.25">
      <c r="A2">
        <v>1997</v>
      </c>
      <c r="B2" s="2">
        <v>177655</v>
      </c>
    </row>
    <row r="3" spans="1:5" x14ac:dyDescent="0.25">
      <c r="A3">
        <v>1998</v>
      </c>
      <c r="B3" s="2">
        <v>191021</v>
      </c>
    </row>
    <row r="4" spans="1:5" x14ac:dyDescent="0.25">
      <c r="A4">
        <v>1999</v>
      </c>
      <c r="B4" s="2">
        <v>191166</v>
      </c>
    </row>
    <row r="5" spans="1:5" x14ac:dyDescent="0.25">
      <c r="A5">
        <v>2000</v>
      </c>
      <c r="B5" s="2">
        <v>201859</v>
      </c>
    </row>
    <row r="6" spans="1:5" x14ac:dyDescent="0.25">
      <c r="A6">
        <v>2001</v>
      </c>
      <c r="B6" s="2">
        <v>211996</v>
      </c>
    </row>
    <row r="7" spans="1:5" x14ac:dyDescent="0.25">
      <c r="A7">
        <v>2002</v>
      </c>
      <c r="B7" s="2">
        <v>209721</v>
      </c>
    </row>
    <row r="8" spans="1:5" x14ac:dyDescent="0.25">
      <c r="A8">
        <v>2003</v>
      </c>
      <c r="B8" s="2">
        <v>212471</v>
      </c>
    </row>
    <row r="9" spans="1:5" x14ac:dyDescent="0.25">
      <c r="A9">
        <v>2004</v>
      </c>
      <c r="B9" s="2">
        <v>199704</v>
      </c>
    </row>
    <row r="10" spans="1:5" x14ac:dyDescent="0.25">
      <c r="A10">
        <v>2005</v>
      </c>
      <c r="B10" s="2">
        <v>198594</v>
      </c>
    </row>
    <row r="11" spans="1:5" x14ac:dyDescent="0.25">
      <c r="A11">
        <v>2006</v>
      </c>
      <c r="B11" s="2">
        <v>197473</v>
      </c>
    </row>
    <row r="12" spans="1:5" x14ac:dyDescent="0.25">
      <c r="A12">
        <v>2007</v>
      </c>
      <c r="B12" s="2">
        <v>200300</v>
      </c>
    </row>
    <row r="13" spans="1:5" x14ac:dyDescent="0.25">
      <c r="A13">
        <v>2008</v>
      </c>
      <c r="B13" s="2">
        <v>185107</v>
      </c>
    </row>
    <row r="14" spans="1:5" x14ac:dyDescent="0.25">
      <c r="A14">
        <v>2009</v>
      </c>
      <c r="B14" s="2">
        <v>186149</v>
      </c>
    </row>
    <row r="15" spans="1:5" x14ac:dyDescent="0.25">
      <c r="A15">
        <v>2010</v>
      </c>
      <c r="B15" s="2">
        <v>177638</v>
      </c>
    </row>
    <row r="16" spans="1:5" x14ac:dyDescent="0.25">
      <c r="A16">
        <v>2011</v>
      </c>
      <c r="B16" s="2">
        <v>181318</v>
      </c>
    </row>
    <row r="17" spans="1:5" x14ac:dyDescent="0.25">
      <c r="A17">
        <v>2012</v>
      </c>
      <c r="B17" s="2">
        <v>178458</v>
      </c>
    </row>
    <row r="18" spans="1:5" x14ac:dyDescent="0.25">
      <c r="A18">
        <v>2013</v>
      </c>
      <c r="B18" s="2">
        <v>178530</v>
      </c>
    </row>
    <row r="19" spans="1:5" x14ac:dyDescent="0.25">
      <c r="A19">
        <v>2014</v>
      </c>
      <c r="B19" s="2">
        <v>176445</v>
      </c>
    </row>
    <row r="20" spans="1:5" x14ac:dyDescent="0.25">
      <c r="A20">
        <v>2015</v>
      </c>
      <c r="B20" s="2">
        <v>178114</v>
      </c>
    </row>
    <row r="21" spans="1:5" x14ac:dyDescent="0.25">
      <c r="A21">
        <v>2016</v>
      </c>
      <c r="B21" s="2">
        <v>174433</v>
      </c>
    </row>
    <row r="22" spans="1:5" x14ac:dyDescent="0.25">
      <c r="A22">
        <v>2017</v>
      </c>
      <c r="B22" s="2">
        <v>188507</v>
      </c>
    </row>
    <row r="23" spans="1:5" x14ac:dyDescent="0.25">
      <c r="A23">
        <v>2018</v>
      </c>
      <c r="B23" s="2">
        <v>187236</v>
      </c>
    </row>
    <row r="24" spans="1:5" x14ac:dyDescent="0.25">
      <c r="A24">
        <v>2019</v>
      </c>
      <c r="B24" s="2">
        <v>189433</v>
      </c>
    </row>
    <row r="25" spans="1:5" x14ac:dyDescent="0.25">
      <c r="A25">
        <v>2020</v>
      </c>
      <c r="B25" s="2">
        <v>187307</v>
      </c>
    </row>
    <row r="26" spans="1:5" x14ac:dyDescent="0.25">
      <c r="A26">
        <v>2021</v>
      </c>
      <c r="B26" s="2">
        <v>190378</v>
      </c>
    </row>
    <row r="27" spans="1:5" x14ac:dyDescent="0.25">
      <c r="A27">
        <v>2022</v>
      </c>
      <c r="B27" s="2">
        <v>191856</v>
      </c>
    </row>
    <row r="28" spans="1:5" x14ac:dyDescent="0.25">
      <c r="A28">
        <v>2023</v>
      </c>
      <c r="B28" s="2">
        <v>201904</v>
      </c>
      <c r="C28" s="2">
        <v>201904</v>
      </c>
      <c r="D28" s="2">
        <v>201904</v>
      </c>
      <c r="E28" s="2">
        <v>201904</v>
      </c>
    </row>
    <row r="29" spans="1:5" x14ac:dyDescent="0.25">
      <c r="A29">
        <v>2024</v>
      </c>
      <c r="C29" s="2">
        <f>_xlfn.FORECAST.ETS(A29,$B$2:$B$28,$A$2:$A$28,1,1)</f>
        <v>201414.86507936509</v>
      </c>
      <c r="D29" s="2">
        <f>C29-_xlfn.FORECAST.ETS.CONFINT(A29,$B$2:$B$28,$A$2:$A$28,0.95,1,1)</f>
        <v>186904.40827207075</v>
      </c>
      <c r="E29" s="2">
        <f>C29+_xlfn.FORECAST.ETS.CONFINT(A29,$B$2:$B$28,$A$2:$A$28,0.95,1,1)</f>
        <v>215925.32188665943</v>
      </c>
    </row>
    <row r="30" spans="1:5" x14ac:dyDescent="0.25">
      <c r="A30">
        <v>2025</v>
      </c>
      <c r="C30" s="2">
        <f>_xlfn.FORECAST.ETS(A30,$B$2:$B$28,$A$2:$A$28,1,1)</f>
        <v>200925.73015873015</v>
      </c>
      <c r="D30" s="2">
        <f>C30-_xlfn.FORECAST.ETS.CONFINT(A30,$B$2:$B$28,$A$2:$A$28,0.95,1,1)</f>
        <v>184696.05179298436</v>
      </c>
      <c r="E30" s="2">
        <f>C30+_xlfn.FORECAST.ETS.CONFINT(A30,$B$2:$B$28,$A$2:$A$28,0.95,1,1)</f>
        <v>217155.40852447593</v>
      </c>
    </row>
    <row r="31" spans="1:5" x14ac:dyDescent="0.25">
      <c r="A31">
        <v>2026</v>
      </c>
      <c r="C31" s="2">
        <f>_xlfn.FORECAST.ETS(A31,$B$2:$B$28,$A$2:$A$28,1,1)</f>
        <v>200436.59523809524</v>
      </c>
      <c r="D31" s="2">
        <f>C31-_xlfn.FORECAST.ETS.CONFINT(A31,$B$2:$B$28,$A$2:$A$28,0.95,1,1)</f>
        <v>182647.19536143879</v>
      </c>
      <c r="E31" s="2">
        <f>C31+_xlfn.FORECAST.ETS.CONFINT(A31,$B$2:$B$28,$A$2:$A$28,0.95,1,1)</f>
        <v>218225.99511475168</v>
      </c>
    </row>
    <row r="32" spans="1:5" x14ac:dyDescent="0.25">
      <c r="A32">
        <v>2027</v>
      </c>
      <c r="C32" s="2">
        <f>_xlfn.FORECAST.ETS(A32,$B$2:$B$28,$A$2:$A$28,1,1)</f>
        <v>199947.46031746033</v>
      </c>
      <c r="D32" s="2">
        <f>C32-_xlfn.FORECAST.ETS.CONFINT(A32,$B$2:$B$28,$A$2:$A$28,0.95,1,1)</f>
        <v>180718.97514022514</v>
      </c>
      <c r="E32" s="2">
        <f>C32+_xlfn.FORECAST.ETS.CONFINT(A32,$B$2:$B$28,$A$2:$A$28,0.95,1,1)</f>
        <v>219175.94549469551</v>
      </c>
    </row>
    <row r="33" spans="1:5" x14ac:dyDescent="0.25">
      <c r="A33">
        <v>2028</v>
      </c>
      <c r="C33" s="2">
        <f>_xlfn.FORECAST.ETS(A33,$B$2:$B$28,$A$2:$A$28,1,1)</f>
        <v>199458.32539682538</v>
      </c>
      <c r="D33" s="2">
        <f>C33-_xlfn.FORECAST.ETS.CONFINT(A33,$B$2:$B$28,$A$2:$A$28,0.95,1,1)</f>
        <v>178886.0488168993</v>
      </c>
      <c r="E33" s="2">
        <f>C33+_xlfn.FORECAST.ETS.CONFINT(A33,$B$2:$B$28,$A$2:$A$28,0.95,1,1)</f>
        <v>220030.60197675147</v>
      </c>
    </row>
    <row r="34" spans="1:5" x14ac:dyDescent="0.25">
      <c r="A34">
        <v>2029</v>
      </c>
      <c r="C34" s="2">
        <f>_xlfn.FORECAST.ETS(A34,$B$2:$B$28,$A$2:$A$28,1,1)</f>
        <v>198969.19047619047</v>
      </c>
      <c r="D34" s="2">
        <f>C34-_xlfn.FORECAST.ETS.CONFINT(A34,$B$2:$B$28,$A$2:$A$28,0.95,1,1)</f>
        <v>177130.80835919827</v>
      </c>
      <c r="E34" s="2">
        <f>C34+_xlfn.FORECAST.ETS.CONFINT(A34,$B$2:$B$28,$A$2:$A$28,0.95,1,1)</f>
        <v>220807.57259318267</v>
      </c>
    </row>
    <row r="35" spans="1:5" x14ac:dyDescent="0.25">
      <c r="A35">
        <v>2030</v>
      </c>
      <c r="C35" s="2">
        <f>_xlfn.FORECAST.ETS(A35,$B$2:$B$28,$A$2:$A$28,1,1)</f>
        <v>198480.05555555556</v>
      </c>
      <c r="D35" s="2">
        <f>C35-_xlfn.FORECAST.ETS.CONFINT(A35,$B$2:$B$28,$A$2:$A$28,0.95,1,1)</f>
        <v>175440.43375444444</v>
      </c>
      <c r="E35" s="2">
        <f>C35+_xlfn.FORECAST.ETS.CONFINT(A35,$B$2:$B$28,$A$2:$A$28,0.95,1,1)</f>
        <v>221519.67735666668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8E9AD-F01E-49F5-A26F-228A09886A12}">
  <dimension ref="A1:E27"/>
  <sheetViews>
    <sheetView tabSelected="1" workbookViewId="0">
      <selection activeCell="E31" sqref="E31"/>
    </sheetView>
  </sheetViews>
  <sheetFormatPr defaultRowHeight="15" x14ac:dyDescent="0.25"/>
  <cols>
    <col min="1" max="1" width="9.28515625" bestFit="1" customWidth="1"/>
    <col min="2" max="2" width="32.140625" customWidth="1"/>
    <col min="3" max="3" width="41.28515625" customWidth="1"/>
    <col min="4" max="5" width="56.140625" customWidth="1"/>
  </cols>
  <sheetData>
    <row r="1" spans="1:5" x14ac:dyDescent="0.25">
      <c r="A1" t="s">
        <v>1</v>
      </c>
      <c r="B1" t="s">
        <v>3</v>
      </c>
      <c r="C1" t="s">
        <v>8</v>
      </c>
      <c r="D1" t="s">
        <v>9</v>
      </c>
      <c r="E1" t="s">
        <v>10</v>
      </c>
    </row>
    <row r="2" spans="1:5" x14ac:dyDescent="0.25">
      <c r="A2">
        <v>2005</v>
      </c>
      <c r="B2">
        <v>201003</v>
      </c>
    </row>
    <row r="3" spans="1:5" x14ac:dyDescent="0.25">
      <c r="A3">
        <v>2006</v>
      </c>
      <c r="B3">
        <v>184540</v>
      </c>
    </row>
    <row r="4" spans="1:5" x14ac:dyDescent="0.25">
      <c r="A4">
        <v>2007</v>
      </c>
      <c r="B4">
        <v>197404</v>
      </c>
    </row>
    <row r="5" spans="1:5" x14ac:dyDescent="0.25">
      <c r="A5">
        <v>2008</v>
      </c>
      <c r="B5">
        <v>177048</v>
      </c>
    </row>
    <row r="6" spans="1:5" x14ac:dyDescent="0.25">
      <c r="A6">
        <v>2009</v>
      </c>
      <c r="B6">
        <v>169769</v>
      </c>
    </row>
    <row r="7" spans="1:5" x14ac:dyDescent="0.25">
      <c r="A7">
        <v>2010</v>
      </c>
      <c r="B7">
        <v>165579</v>
      </c>
    </row>
    <row r="8" spans="1:5" x14ac:dyDescent="0.25">
      <c r="A8">
        <v>2011</v>
      </c>
      <c r="B8">
        <v>171950</v>
      </c>
    </row>
    <row r="9" spans="1:5" x14ac:dyDescent="0.25">
      <c r="A9">
        <v>2012</v>
      </c>
      <c r="B9">
        <v>168323</v>
      </c>
    </row>
    <row r="10" spans="1:5" x14ac:dyDescent="0.25">
      <c r="A10">
        <v>2013</v>
      </c>
      <c r="B10">
        <v>171752</v>
      </c>
    </row>
    <row r="11" spans="1:5" x14ac:dyDescent="0.25">
      <c r="A11">
        <v>2014</v>
      </c>
      <c r="B11">
        <v>169068</v>
      </c>
    </row>
    <row r="12" spans="1:5" x14ac:dyDescent="0.25">
      <c r="A12">
        <v>2015</v>
      </c>
      <c r="B12">
        <v>165020</v>
      </c>
    </row>
    <row r="13" spans="1:5" x14ac:dyDescent="0.25">
      <c r="A13">
        <v>2016</v>
      </c>
      <c r="B13">
        <v>154979</v>
      </c>
    </row>
    <row r="14" spans="1:5" x14ac:dyDescent="0.25">
      <c r="A14">
        <v>2017</v>
      </c>
      <c r="B14">
        <v>150016</v>
      </c>
    </row>
    <row r="15" spans="1:5" x14ac:dyDescent="0.25">
      <c r="A15">
        <v>2018</v>
      </c>
      <c r="B15">
        <v>152051</v>
      </c>
    </row>
    <row r="16" spans="1:5" x14ac:dyDescent="0.25">
      <c r="A16">
        <v>2019</v>
      </c>
      <c r="B16">
        <v>161748</v>
      </c>
    </row>
    <row r="17" spans="1:5" x14ac:dyDescent="0.25">
      <c r="A17">
        <v>2020</v>
      </c>
      <c r="B17">
        <v>160968</v>
      </c>
    </row>
    <row r="18" spans="1:5" x14ac:dyDescent="0.25">
      <c r="A18">
        <v>2021</v>
      </c>
      <c r="B18">
        <v>150155</v>
      </c>
    </row>
    <row r="19" spans="1:5" x14ac:dyDescent="0.25">
      <c r="A19">
        <v>2022</v>
      </c>
      <c r="B19">
        <v>151953</v>
      </c>
    </row>
    <row r="20" spans="1:5" x14ac:dyDescent="0.25">
      <c r="A20">
        <v>2023</v>
      </c>
      <c r="B20">
        <v>154115</v>
      </c>
      <c r="C20">
        <v>154115</v>
      </c>
      <c r="D20" s="3">
        <v>154115</v>
      </c>
      <c r="E20" s="3">
        <v>154115</v>
      </c>
    </row>
    <row r="21" spans="1:5" x14ac:dyDescent="0.25">
      <c r="A21">
        <v>2024</v>
      </c>
      <c r="C21">
        <f>_xlfn.FORECAST.ETS(A21,$B$2:$B$20,$A$2:$A$20,1,1)</f>
        <v>149126.02449249566</v>
      </c>
      <c r="D21" s="3">
        <f>C21-_xlfn.FORECAST.ETS.CONFINT(A21,$B$2:$B$20,$A$2:$A$20,0.95,1,1)</f>
        <v>134087.13235965511</v>
      </c>
      <c r="E21" s="3">
        <f>C21+_xlfn.FORECAST.ETS.CONFINT(A21,$B$2:$B$20,$A$2:$A$20,0.95,1,1)</f>
        <v>164164.91662533622</v>
      </c>
    </row>
    <row r="22" spans="1:5" x14ac:dyDescent="0.25">
      <c r="A22">
        <v>2025</v>
      </c>
      <c r="C22">
        <f>_xlfn.FORECAST.ETS(A22,$B$2:$B$20,$A$2:$A$20,1,1)</f>
        <v>146823.53617935418</v>
      </c>
      <c r="D22" s="3">
        <f>C22-_xlfn.FORECAST.ETS.CONFINT(A22,$B$2:$B$20,$A$2:$A$20,0.95,1,1)</f>
        <v>130002.81264634653</v>
      </c>
      <c r="E22" s="3">
        <f>C22+_xlfn.FORECAST.ETS.CONFINT(A22,$B$2:$B$20,$A$2:$A$20,0.95,1,1)</f>
        <v>163644.25971236182</v>
      </c>
    </row>
    <row r="23" spans="1:5" x14ac:dyDescent="0.25">
      <c r="A23">
        <v>2026</v>
      </c>
      <c r="C23">
        <f>_xlfn.FORECAST.ETS(A23,$B$2:$B$20,$A$2:$A$20,1,1)</f>
        <v>144521.0478662127</v>
      </c>
      <c r="D23" s="3">
        <f>C23-_xlfn.FORECAST.ETS.CONFINT(A23,$B$2:$B$20,$A$2:$A$20,0.95,1,1)</f>
        <v>126083.80158196641</v>
      </c>
      <c r="E23" s="3">
        <f>C23+_xlfn.FORECAST.ETS.CONFINT(A23,$B$2:$B$20,$A$2:$A$20,0.95,1,1)</f>
        <v>162958.294150459</v>
      </c>
    </row>
    <row r="24" spans="1:5" x14ac:dyDescent="0.25">
      <c r="A24">
        <v>2027</v>
      </c>
      <c r="C24">
        <f>_xlfn.FORECAST.ETS(A24,$B$2:$B$20,$A$2:$A$20,1,1)</f>
        <v>142218.55955307122</v>
      </c>
      <c r="D24" s="3">
        <f>C24-_xlfn.FORECAST.ETS.CONFINT(A24,$B$2:$B$20,$A$2:$A$20,0.95,1,1)</f>
        <v>122289.82000346608</v>
      </c>
      <c r="E24" s="3">
        <f>C24+_xlfn.FORECAST.ETS.CONFINT(A24,$B$2:$B$20,$A$2:$A$20,0.95,1,1)</f>
        <v>162147.29910267636</v>
      </c>
    </row>
    <row r="25" spans="1:5" x14ac:dyDescent="0.25">
      <c r="A25">
        <v>2028</v>
      </c>
      <c r="C25">
        <f>_xlfn.FORECAST.ETS(A25,$B$2:$B$20,$A$2:$A$20,1,1)</f>
        <v>139916.07123992973</v>
      </c>
      <c r="D25" s="3">
        <f>C25-_xlfn.FORECAST.ETS.CONFINT(A25,$B$2:$B$20,$A$2:$A$20,0.95,1,1)</f>
        <v>118594.60269340232</v>
      </c>
      <c r="E25" s="3">
        <f>C25+_xlfn.FORECAST.ETS.CONFINT(A25,$B$2:$B$20,$A$2:$A$20,0.95,1,1)</f>
        <v>161237.53978645714</v>
      </c>
    </row>
    <row r="26" spans="1:5" x14ac:dyDescent="0.25">
      <c r="A26">
        <v>2029</v>
      </c>
      <c r="C26">
        <f>_xlfn.FORECAST.ETS(A26,$B$2:$B$20,$A$2:$A$20,1,1)</f>
        <v>137613.58292678825</v>
      </c>
      <c r="D26" s="3">
        <f>C26-_xlfn.FORECAST.ETS.CONFINT(A26,$B$2:$B$20,$A$2:$A$20,0.95,1,1)</f>
        <v>114979.90037806914</v>
      </c>
      <c r="E26" s="3">
        <f>C26+_xlfn.FORECAST.ETS.CONFINT(A26,$B$2:$B$20,$A$2:$A$20,0.95,1,1)</f>
        <v>160247.26547550736</v>
      </c>
    </row>
    <row r="27" spans="1:5" x14ac:dyDescent="0.25">
      <c r="A27">
        <v>2030</v>
      </c>
      <c r="C27">
        <f>_xlfn.FORECAST.ETS(A27,$B$2:$B$20,$A$2:$A$20,1,1)</f>
        <v>135311.09461364677</v>
      </c>
      <c r="D27" s="3">
        <f>C27-_xlfn.FORECAST.ETS.CONFINT(A27,$B$2:$B$20,$A$2:$A$20,0.95,1,1)</f>
        <v>111432.42617130159</v>
      </c>
      <c r="E27" s="3">
        <f>C27+_xlfn.FORECAST.ETS.CONFINT(A27,$B$2:$B$20,$A$2:$A$20,0.95,1,1)</f>
        <v>159189.76305599196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92716-B95B-4DE9-A8CD-102116AF9DCD}">
  <dimension ref="A1:E28"/>
  <sheetViews>
    <sheetView workbookViewId="0">
      <selection activeCell="D1" activeCellId="2" sqref="H33 B1:B1048576 D1:D104857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35795</v>
      </c>
      <c r="B2">
        <v>1997</v>
      </c>
      <c r="C2" s="2">
        <v>177655</v>
      </c>
    </row>
    <row r="3" spans="1:5" x14ac:dyDescent="0.25">
      <c r="A3" s="1">
        <v>36160</v>
      </c>
      <c r="B3">
        <v>1998</v>
      </c>
      <c r="C3" s="2">
        <v>191021</v>
      </c>
    </row>
    <row r="4" spans="1:5" x14ac:dyDescent="0.25">
      <c r="A4" s="1">
        <v>36525</v>
      </c>
      <c r="B4">
        <v>1999</v>
      </c>
      <c r="C4" s="2">
        <v>191166</v>
      </c>
    </row>
    <row r="5" spans="1:5" x14ac:dyDescent="0.25">
      <c r="A5" s="1">
        <v>36891</v>
      </c>
      <c r="B5">
        <v>2000</v>
      </c>
      <c r="C5" s="2">
        <v>201859</v>
      </c>
    </row>
    <row r="6" spans="1:5" x14ac:dyDescent="0.25">
      <c r="A6" s="1">
        <v>37256</v>
      </c>
      <c r="B6">
        <v>2001</v>
      </c>
      <c r="C6" s="2">
        <v>211996</v>
      </c>
    </row>
    <row r="7" spans="1:5" x14ac:dyDescent="0.25">
      <c r="A7" s="1">
        <v>37621</v>
      </c>
      <c r="B7">
        <v>2002</v>
      </c>
      <c r="C7" s="2">
        <v>209721</v>
      </c>
    </row>
    <row r="8" spans="1:5" x14ac:dyDescent="0.25">
      <c r="A8" s="1">
        <v>37986</v>
      </c>
      <c r="B8">
        <v>2003</v>
      </c>
      <c r="C8" s="2">
        <v>212471</v>
      </c>
    </row>
    <row r="9" spans="1:5" x14ac:dyDescent="0.25">
      <c r="A9" s="1">
        <v>38352</v>
      </c>
      <c r="B9">
        <v>2004</v>
      </c>
      <c r="C9" s="2">
        <v>199704</v>
      </c>
    </row>
    <row r="10" spans="1:5" x14ac:dyDescent="0.25">
      <c r="A10" s="1">
        <v>38717</v>
      </c>
      <c r="B10">
        <v>2005</v>
      </c>
      <c r="C10" s="2">
        <v>198594</v>
      </c>
      <c r="D10" s="2">
        <v>201003</v>
      </c>
      <c r="E10">
        <v>101</v>
      </c>
    </row>
    <row r="11" spans="1:5" x14ac:dyDescent="0.25">
      <c r="A11" s="1">
        <v>39082</v>
      </c>
      <c r="B11">
        <v>2006</v>
      </c>
      <c r="C11" s="2">
        <v>197473</v>
      </c>
      <c r="D11" s="2">
        <v>184540</v>
      </c>
      <c r="E11">
        <v>93</v>
      </c>
    </row>
    <row r="12" spans="1:5" x14ac:dyDescent="0.25">
      <c r="A12" s="1">
        <v>39447</v>
      </c>
      <c r="B12">
        <v>2007</v>
      </c>
      <c r="C12" s="2">
        <v>200300</v>
      </c>
      <c r="D12" s="2">
        <v>197404</v>
      </c>
      <c r="E12">
        <v>99</v>
      </c>
    </row>
    <row r="13" spans="1:5" x14ac:dyDescent="0.25">
      <c r="A13" s="1">
        <v>39813</v>
      </c>
      <c r="B13">
        <v>2008</v>
      </c>
      <c r="C13" s="2">
        <v>185107</v>
      </c>
      <c r="D13" s="2">
        <v>177048</v>
      </c>
      <c r="E13">
        <v>96</v>
      </c>
    </row>
    <row r="14" spans="1:5" x14ac:dyDescent="0.25">
      <c r="A14" s="1">
        <v>40178</v>
      </c>
      <c r="B14">
        <v>2009</v>
      </c>
      <c r="C14" s="2">
        <v>186149</v>
      </c>
      <c r="D14" s="2">
        <v>169769</v>
      </c>
      <c r="E14">
        <v>91</v>
      </c>
    </row>
    <row r="15" spans="1:5" x14ac:dyDescent="0.25">
      <c r="A15" s="1">
        <v>40543</v>
      </c>
      <c r="B15">
        <v>2010</v>
      </c>
      <c r="C15" s="2">
        <v>177638</v>
      </c>
      <c r="D15" s="2">
        <v>165579</v>
      </c>
      <c r="E15">
        <v>93</v>
      </c>
    </row>
    <row r="16" spans="1:5" x14ac:dyDescent="0.25">
      <c r="A16" s="1">
        <v>40908</v>
      </c>
      <c r="B16">
        <v>2011</v>
      </c>
      <c r="C16" s="2">
        <v>181318</v>
      </c>
      <c r="D16" s="2">
        <v>171950</v>
      </c>
      <c r="E16">
        <v>95</v>
      </c>
    </row>
    <row r="17" spans="1:5" x14ac:dyDescent="0.25">
      <c r="A17" s="1">
        <v>41274</v>
      </c>
      <c r="B17">
        <v>2012</v>
      </c>
      <c r="C17" s="2">
        <v>178458</v>
      </c>
      <c r="D17" s="2">
        <v>168323</v>
      </c>
      <c r="E17">
        <v>94</v>
      </c>
    </row>
    <row r="18" spans="1:5" x14ac:dyDescent="0.25">
      <c r="A18" s="1">
        <v>41639</v>
      </c>
      <c r="B18">
        <v>2013</v>
      </c>
      <c r="C18" s="2">
        <v>178530</v>
      </c>
      <c r="D18" s="2">
        <v>171752</v>
      </c>
      <c r="E18">
        <v>97</v>
      </c>
    </row>
    <row r="19" spans="1:5" x14ac:dyDescent="0.25">
      <c r="A19" s="1">
        <v>42004</v>
      </c>
      <c r="B19">
        <v>2014</v>
      </c>
      <c r="C19" s="2">
        <v>176445</v>
      </c>
      <c r="D19" s="2">
        <v>169068</v>
      </c>
      <c r="E19">
        <v>96</v>
      </c>
    </row>
    <row r="20" spans="1:5" x14ac:dyDescent="0.25">
      <c r="A20" s="1">
        <v>42369</v>
      </c>
      <c r="B20">
        <v>2015</v>
      </c>
      <c r="C20" s="2">
        <v>178114</v>
      </c>
      <c r="D20" s="2">
        <v>165020</v>
      </c>
      <c r="E20">
        <v>93</v>
      </c>
    </row>
    <row r="21" spans="1:5" x14ac:dyDescent="0.25">
      <c r="A21" s="1">
        <v>42735</v>
      </c>
      <c r="B21">
        <v>2016</v>
      </c>
      <c r="C21" s="2">
        <v>174433</v>
      </c>
      <c r="D21" s="2">
        <v>154979</v>
      </c>
      <c r="E21">
        <v>89</v>
      </c>
    </row>
    <row r="22" spans="1:5" x14ac:dyDescent="0.25">
      <c r="A22" s="1">
        <v>43100</v>
      </c>
      <c r="B22">
        <v>2017</v>
      </c>
      <c r="C22" s="2">
        <v>188507</v>
      </c>
      <c r="D22" s="2">
        <v>150016</v>
      </c>
      <c r="E22">
        <v>80</v>
      </c>
    </row>
    <row r="23" spans="1:5" x14ac:dyDescent="0.25">
      <c r="A23" s="1">
        <v>43465</v>
      </c>
      <c r="B23">
        <v>2018</v>
      </c>
      <c r="C23" s="2">
        <v>187236</v>
      </c>
      <c r="D23" s="2">
        <v>152051</v>
      </c>
      <c r="E23">
        <v>81</v>
      </c>
    </row>
    <row r="24" spans="1:5" x14ac:dyDescent="0.25">
      <c r="A24" s="1">
        <v>43830</v>
      </c>
      <c r="B24">
        <v>2019</v>
      </c>
      <c r="C24" s="2">
        <v>189433</v>
      </c>
      <c r="D24" s="2">
        <v>161748</v>
      </c>
      <c r="E24">
        <v>85</v>
      </c>
    </row>
    <row r="25" spans="1:5" x14ac:dyDescent="0.25">
      <c r="A25" s="1">
        <v>44196</v>
      </c>
      <c r="B25">
        <v>2020</v>
      </c>
      <c r="C25" s="2">
        <v>187307</v>
      </c>
      <c r="D25" s="2">
        <v>160968</v>
      </c>
      <c r="E25">
        <v>86</v>
      </c>
    </row>
    <row r="26" spans="1:5" x14ac:dyDescent="0.25">
      <c r="A26" s="1">
        <v>44561</v>
      </c>
      <c r="B26">
        <v>2021</v>
      </c>
      <c r="C26" s="2">
        <v>190378</v>
      </c>
      <c r="D26" s="2">
        <v>150155</v>
      </c>
      <c r="E26">
        <v>80</v>
      </c>
    </row>
    <row r="27" spans="1:5" x14ac:dyDescent="0.25">
      <c r="A27" s="1">
        <v>44926</v>
      </c>
      <c r="B27">
        <v>2022</v>
      </c>
      <c r="C27" s="2">
        <v>191856</v>
      </c>
      <c r="D27" s="2">
        <v>151953</v>
      </c>
      <c r="E27">
        <v>81</v>
      </c>
    </row>
    <row r="28" spans="1:5" x14ac:dyDescent="0.25">
      <c r="A28" s="1">
        <v>45291</v>
      </c>
      <c r="B28">
        <v>2023</v>
      </c>
      <c r="C28" s="2">
        <v>201904</v>
      </c>
      <c r="D28" s="2">
        <v>154115</v>
      </c>
      <c r="E28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Water_Annual_River_Withdrawals_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Sun</dc:creator>
  <cp:lastModifiedBy>Esther Sun</cp:lastModifiedBy>
  <dcterms:created xsi:type="dcterms:W3CDTF">2024-07-14T09:26:13Z</dcterms:created>
  <dcterms:modified xsi:type="dcterms:W3CDTF">2024-07-14T09:26:13Z</dcterms:modified>
</cp:coreProperties>
</file>